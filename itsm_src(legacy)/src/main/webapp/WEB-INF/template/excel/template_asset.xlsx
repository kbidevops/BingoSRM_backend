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2260" windowHeight="12645"/>
  </bookViews>
  <sheets>
    <sheet name="HW 자산" sheetId="1" r:id="rId1"/>
    <sheet name="상용SW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2" l="1"/>
  <c r="A8" i="1" l="1"/>
  <c r="T17" i="2" l="1"/>
  <c r="T9" i="2"/>
  <c r="T9" i="1"/>
  <c r="R9" i="2"/>
  <c r="R9" i="1"/>
</calcChain>
</file>

<file path=xl/sharedStrings.xml><?xml version="1.0" encoding="utf-8"?>
<sst xmlns="http://schemas.openxmlformats.org/spreadsheetml/2006/main" count="104" uniqueCount="76">
  <si>
    <t>구분</t>
    <phoneticPr fontId="2" type="noConversion"/>
  </si>
  <si>
    <t>제품명</t>
    <phoneticPr fontId="2" type="noConversion"/>
  </si>
  <si>
    <t>제조사</t>
    <phoneticPr fontId="2" type="noConversion"/>
  </si>
  <si>
    <t>수량</t>
    <phoneticPr fontId="2" type="noConversion"/>
  </si>
  <si>
    <t>수량 단위</t>
    <phoneticPr fontId="2" type="noConversion"/>
  </si>
  <si>
    <t>용도</t>
    <phoneticPr fontId="2" type="noConversion"/>
  </si>
  <si>
    <t>도입단가</t>
    <phoneticPr fontId="2" type="noConversion"/>
  </si>
  <si>
    <t>도입일자</t>
    <phoneticPr fontId="2" type="noConversion"/>
  </si>
  <si>
    <t>납품업체</t>
    <phoneticPr fontId="2" type="noConversion"/>
  </si>
  <si>
    <t>기술지원업체</t>
    <phoneticPr fontId="2" type="noConversion"/>
  </si>
  <si>
    <t>자산 여부</t>
    <phoneticPr fontId="2" type="noConversion"/>
  </si>
  <si>
    <t>사용여부</t>
    <phoneticPr fontId="2" type="noConversion"/>
  </si>
  <si>
    <t>내용연수</t>
    <phoneticPr fontId="2" type="noConversion"/>
  </si>
  <si>
    <t>설치위치</t>
    <phoneticPr fontId="2" type="noConversion"/>
  </si>
  <si>
    <t>유지보수 대상</t>
    <phoneticPr fontId="2" type="noConversion"/>
  </si>
  <si>
    <t>비고</t>
    <phoneticPr fontId="2" type="noConversion"/>
  </si>
  <si>
    <t>순번</t>
    <phoneticPr fontId="2" type="noConversion"/>
  </si>
  <si>
    <t>- 운영 종료된 것도 모두 작성</t>
    <phoneticPr fontId="2" type="noConversion"/>
  </si>
  <si>
    <t>- 기정원 자산이 아니더라도 연관된 모든 장비 및 SW 작성</t>
    <phoneticPr fontId="2" type="noConversion"/>
  </si>
  <si>
    <t>- 애매한 것은 해당 칸에 메모를 넣거나 빨간색셀로 색칠, 비고에 기재</t>
    <phoneticPr fontId="2" type="noConversion"/>
  </si>
  <si>
    <t>도입금액</t>
    <phoneticPr fontId="2" type="noConversion"/>
  </si>
  <si>
    <t>합계</t>
    <phoneticPr fontId="2" type="noConversion"/>
  </si>
  <si>
    <t>유지보수 금액(2021년 기준)</t>
    <phoneticPr fontId="2" type="noConversion"/>
  </si>
  <si>
    <t>유지보수 요율</t>
    <phoneticPr fontId="2" type="noConversion"/>
  </si>
  <si>
    <t>* 전문기관 원가계산 (예산설계 요율 2019년 8월)</t>
    <phoneticPr fontId="2" type="noConversion"/>
  </si>
  <si>
    <t>* VAT 포함</t>
    <phoneticPr fontId="2" type="noConversion"/>
  </si>
  <si>
    <t>합계</t>
    <phoneticPr fontId="2" type="noConversion"/>
  </si>
  <si>
    <t>SSL 인증서 비용</t>
    <phoneticPr fontId="2" type="noConversion"/>
  </si>
  <si>
    <t>실명인증비용</t>
    <phoneticPr fontId="2" type="noConversion"/>
  </si>
  <si>
    <t>웹접근성심사</t>
    <phoneticPr fontId="2" type="noConversion"/>
  </si>
  <si>
    <t>OZ스케줄러 도입비</t>
    <phoneticPr fontId="2" type="noConversion"/>
  </si>
  <si>
    <t>기타</t>
    <phoneticPr fontId="2" type="noConversion"/>
  </si>
  <si>
    <t>추가 지급 합계</t>
    <phoneticPr fontId="2" type="noConversion"/>
  </si>
  <si>
    <t>${list_HW.assetsSe1Nm}</t>
    <phoneticPr fontId="2" type="noConversion"/>
  </si>
  <si>
    <t>${list_HW.maker}</t>
    <phoneticPr fontId="2" type="noConversion"/>
  </si>
  <si>
    <t>${list_HW.productNm}</t>
    <phoneticPr fontId="2" type="noConversion"/>
  </si>
  <si>
    <t>${list_HW.dlvgbiz}</t>
    <phoneticPr fontId="2" type="noConversion"/>
  </si>
  <si>
    <t>${list_HW.assetQy}</t>
    <phoneticPr fontId="2" type="noConversion"/>
  </si>
  <si>
    <t>${list_HW.qyUnit}</t>
    <phoneticPr fontId="2" type="noConversion"/>
  </si>
  <si>
    <t>${list_HW.assetPrpos}</t>
    <phoneticPr fontId="2" type="noConversion"/>
  </si>
  <si>
    <t>${list_HW.tchnlgySprt}</t>
    <phoneticPr fontId="2" type="noConversion"/>
  </si>
  <si>
    <t>${list_HW.indcDt}</t>
    <phoneticPr fontId="2" type="noConversion"/>
  </si>
  <si>
    <t>${list_HW.indcUntpc}</t>
    <phoneticPr fontId="2" type="noConversion"/>
  </si>
  <si>
    <t>${list_HW.indcAmount}</t>
    <phoneticPr fontId="2" type="noConversion"/>
  </si>
  <si>
    <t>${list_HW.mntnceTariff}</t>
    <phoneticPr fontId="2" type="noConversion"/>
  </si>
  <si>
    <t>${list_HW.mntnceAmount}</t>
    <phoneticPr fontId="2" type="noConversion"/>
  </si>
  <si>
    <t>${list_HW.cnSdytrn}</t>
    <phoneticPr fontId="2" type="noConversion"/>
  </si>
  <si>
    <t>${list_HW.assetsRm}</t>
    <phoneticPr fontId="2" type="noConversion"/>
  </si>
  <si>
    <t>${list_SW.assetsSe1Nm}</t>
  </si>
  <si>
    <t>${list_SW.maker}</t>
  </si>
  <si>
    <t>${list_SW.productNm}</t>
  </si>
  <si>
    <t>${list_SW.dlvgbiz}</t>
  </si>
  <si>
    <t>${list_SW.assetQy}</t>
  </si>
  <si>
    <t>${list_SW.qyUnit}</t>
  </si>
  <si>
    <t>${list_SW.assetPrpos}</t>
  </si>
  <si>
    <t>${list_SW.tchnlgySprt}</t>
  </si>
  <si>
    <t>${list_SW.indcDt}</t>
  </si>
  <si>
    <t>${list_SW.indcUntpc}</t>
  </si>
  <si>
    <t>${list_SW.indcAmount}</t>
  </si>
  <si>
    <t>${list_SW.mntnceTariff}</t>
  </si>
  <si>
    <t>${list_SW.mntnceAmount}</t>
  </si>
  <si>
    <t>${list_SW.cnSdytrn}</t>
  </si>
  <si>
    <t>${list_SW.assetsRm}</t>
  </si>
  <si>
    <t>${list_HW.useYn == 'Y' ? 'O' : 'X'}</t>
    <phoneticPr fontId="2" type="noConversion"/>
  </si>
  <si>
    <t>${list_HW.assetYn == 'Y' ? 'O' : 'X'}</t>
    <phoneticPr fontId="2" type="noConversion"/>
  </si>
  <si>
    <t>${list_HW.mntnceYn == 'Y' ? 'O' : 'X'}</t>
    <phoneticPr fontId="2" type="noConversion"/>
  </si>
  <si>
    <t>${list_SW.assetYn == 'Y' ? 'O' : 'X'}</t>
    <phoneticPr fontId="2" type="noConversion"/>
  </si>
  <si>
    <t>${list_SW.mntnceYn == 'Y' ? 'O' : 'X'}</t>
    <phoneticPr fontId="2" type="noConversion"/>
  </si>
  <si>
    <t>${list_SW.useYn == 'Y' ? 'O' : 'X'}</t>
    <phoneticPr fontId="2" type="noConversion"/>
  </si>
  <si>
    <t>구매방식</t>
    <phoneticPr fontId="2" type="noConversion"/>
  </si>
  <si>
    <t>${list_SW.purchsMthd}</t>
    <phoneticPr fontId="2" type="noConversion"/>
  </si>
  <si>
    <t>${list_SW.assetsSe2Nm}</t>
    <phoneticPr fontId="2" type="noConversion"/>
  </si>
  <si>
    <t>${list_SW.instlLcNm}</t>
    <phoneticPr fontId="2" type="noConversion"/>
  </si>
  <si>
    <t>${list_HW.assetsSe2Nm}</t>
    <phoneticPr fontId="2" type="noConversion"/>
  </si>
  <si>
    <t>${list_HW.instlLcNm}</t>
    <phoneticPr fontId="2" type="noConversion"/>
  </si>
  <si>
    <t>${list_HW.purchsMthd}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</si>
</sst>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b/>
      <sz val="11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</cellStyleXfs>
  <cellXfs count="33">
    <xf numFmtId="0" fontId="0" fillId="0" borderId="0" xfId="0"/>
    <xf numFmtId="0" fontId="0" fillId="0" borderId="0" xfId="0" quotePrefix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14" fontId="5" fillId="0" borderId="1" xfId="0" applyNumberFormat="1" applyFont="1" applyFill="1" applyBorder="1" applyAlignment="1">
      <alignment horizontal="center" vertical="center" wrapText="1" readingOrder="1"/>
    </xf>
    <xf numFmtId="0" fontId="0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0" fillId="4" borderId="0" xfId="0" applyFont="1" applyFill="1" applyAlignment="1">
      <alignment vertical="center"/>
    </xf>
    <xf numFmtId="9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quotePrefix="1" applyFont="1" applyAlignment="1">
      <alignment horizontal="left" vertical="center"/>
    </xf>
    <xf numFmtId="0" fontId="0" fillId="0" borderId="0" xfId="0" quotePrefix="1" applyFont="1" applyAlignment="1">
      <alignment vertical="center"/>
    </xf>
    <xf numFmtId="0" fontId="5" fillId="0" borderId="1" xfId="0" applyFont="1" applyFill="1" applyBorder="1" applyAlignment="1">
      <alignment horizontal="center" vertical="center" wrapText="1" readingOrder="1"/>
    </xf>
    <xf numFmtId="0" fontId="0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1" fontId="0" fillId="0" borderId="0" xfId="1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41" fontId="3" fillId="0" borderId="0" xfId="0" applyNumberFormat="1" applyFont="1" applyFill="1" applyAlignment="1">
      <alignment vertical="center"/>
    </xf>
    <xf numFmtId="41" fontId="6" fillId="0" borderId="1" xfId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1" xfId="2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42" fontId="0" fillId="0" borderId="1" xfId="0" applyNumberFormat="1" applyFont="1" applyFill="1" applyBorder="1" applyAlignment="1">
      <alignment horizontal="center" vertical="center"/>
    </xf>
  </cellXfs>
  <cellStyles count="3">
    <cellStyle name="쉼표 [0]" xfId="1" builtinId="6"/>
    <cellStyle name="통화 [0]" xfId="2" builtinId="7"/>
    <cellStyle name="표준" xfId="0" builtinId="0"/>
  </cellStyles>
  <dxfs count="8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tabSelected="1" zoomScale="70" zoomScaleNormal="70" workbookViewId="0">
      <selection activeCell="G29" sqref="G29"/>
    </sheetView>
  </sheetViews>
  <sheetFormatPr defaultRowHeight="16.5" x14ac:dyDescent="0.3"/>
  <cols>
    <col min="1" max="1" width="9.125" style="27" customWidth="1"/>
    <col min="2" max="2" width="15.5" style="28" customWidth="1"/>
    <col min="3" max="3" width="30.875" style="28" customWidth="1"/>
    <col min="4" max="4" width="30.875" style="28" bestFit="1" customWidth="1"/>
    <col min="5" max="5" width="21.625" style="28" bestFit="1" customWidth="1"/>
    <col min="6" max="6" width="40.875" style="28" bestFit="1" customWidth="1"/>
    <col min="7" max="7" width="21.625" style="28" bestFit="1" customWidth="1"/>
    <col min="8" max="8" width="5.625" style="28" bestFit="1" customWidth="1"/>
    <col min="9" max="9" width="10" style="28" bestFit="1" customWidth="1"/>
    <col min="10" max="10" width="34.75" style="28" bestFit="1" customWidth="1"/>
    <col min="11" max="11" width="14.875" style="27" customWidth="1"/>
    <col min="12" max="12" width="20" style="27" bestFit="1" customWidth="1"/>
    <col min="13" max="13" width="22.75" style="28" bestFit="1" customWidth="1"/>
    <col min="14" max="14" width="13" style="27" bestFit="1" customWidth="1"/>
    <col min="15" max="15" width="14" style="28" customWidth="1"/>
    <col min="16" max="16" width="13" style="28" bestFit="1" customWidth="1"/>
    <col min="17" max="17" width="19.625" style="28" bestFit="1" customWidth="1"/>
    <col min="18" max="18" width="19.75" style="28" bestFit="1" customWidth="1"/>
    <col min="19" max="19" width="33.625" style="27" customWidth="1"/>
    <col min="20" max="20" width="27.25" style="28" bestFit="1" customWidth="1"/>
    <col min="21" max="21" width="9.25" style="27" bestFit="1" customWidth="1"/>
    <col min="22" max="22" width="56.5" style="28" customWidth="1"/>
    <col min="23" max="16384" width="9" style="28"/>
  </cols>
  <sheetData>
    <row r="1" spans="1:22" s="2" customFormat="1" x14ac:dyDescent="0.3">
      <c r="A1" s="3"/>
      <c r="K1" s="3"/>
      <c r="L1" s="3"/>
      <c r="N1" s="3"/>
      <c r="S1" s="3"/>
      <c r="U1" s="3"/>
    </row>
    <row r="2" spans="1:22" s="2" customFormat="1" x14ac:dyDescent="0.3">
      <c r="A2" s="3"/>
      <c r="K2" s="3"/>
      <c r="L2" s="3"/>
      <c r="N2" s="3"/>
      <c r="S2" s="3"/>
      <c r="U2" s="3"/>
    </row>
    <row r="3" spans="1:22" s="2" customFormat="1" x14ac:dyDescent="0.3">
      <c r="A3" s="3"/>
      <c r="K3" s="3"/>
      <c r="L3" s="3"/>
      <c r="N3" s="3"/>
      <c r="S3" s="3"/>
      <c r="U3" s="3"/>
    </row>
    <row r="4" spans="1:22" s="2" customFormat="1" x14ac:dyDescent="0.3">
      <c r="A4" s="1" t="s">
        <v>17</v>
      </c>
      <c r="K4" s="3"/>
      <c r="L4" s="3"/>
      <c r="N4" s="3"/>
      <c r="S4" s="3"/>
      <c r="U4" s="3"/>
    </row>
    <row r="5" spans="1:22" s="2" customFormat="1" x14ac:dyDescent="0.3">
      <c r="A5" s="1" t="s">
        <v>18</v>
      </c>
      <c r="D5" s="4"/>
      <c r="K5" s="3"/>
      <c r="L5" s="3"/>
      <c r="N5" s="3"/>
      <c r="S5" s="3"/>
      <c r="U5" s="3"/>
    </row>
    <row r="6" spans="1:22" s="2" customFormat="1" x14ac:dyDescent="0.3">
      <c r="A6" s="1" t="s">
        <v>19</v>
      </c>
      <c r="K6" s="3"/>
      <c r="L6" s="3"/>
      <c r="N6" s="3"/>
      <c r="R6" s="14" t="s">
        <v>25</v>
      </c>
      <c r="S6" s="3" t="s">
        <v>24</v>
      </c>
      <c r="U6" s="3"/>
    </row>
    <row r="7" spans="1:22" s="2" customFormat="1" x14ac:dyDescent="0.3">
      <c r="A7" s="5" t="s">
        <v>16</v>
      </c>
      <c r="B7" s="5" t="s">
        <v>0</v>
      </c>
      <c r="C7" s="5" t="s">
        <v>0</v>
      </c>
      <c r="D7" s="5" t="s">
        <v>69</v>
      </c>
      <c r="E7" s="5" t="s">
        <v>2</v>
      </c>
      <c r="F7" s="5" t="s">
        <v>1</v>
      </c>
      <c r="G7" s="5" t="s">
        <v>8</v>
      </c>
      <c r="H7" s="5" t="s">
        <v>3</v>
      </c>
      <c r="I7" s="5" t="s">
        <v>4</v>
      </c>
      <c r="J7" s="5" t="s">
        <v>5</v>
      </c>
      <c r="K7" s="5" t="s">
        <v>10</v>
      </c>
      <c r="L7" s="5" t="s">
        <v>14</v>
      </c>
      <c r="M7" s="5" t="s">
        <v>9</v>
      </c>
      <c r="N7" s="5" t="s">
        <v>13</v>
      </c>
      <c r="O7" s="5" t="s">
        <v>11</v>
      </c>
      <c r="P7" s="5" t="s">
        <v>7</v>
      </c>
      <c r="Q7" s="5" t="s">
        <v>6</v>
      </c>
      <c r="R7" s="7" t="s">
        <v>20</v>
      </c>
      <c r="S7" s="5" t="s">
        <v>23</v>
      </c>
      <c r="T7" s="5" t="s">
        <v>22</v>
      </c>
      <c r="U7" s="5" t="s">
        <v>12</v>
      </c>
      <c r="V7" s="5" t="s">
        <v>15</v>
      </c>
    </row>
    <row r="8" spans="1:22" s="12" customFormat="1" x14ac:dyDescent="0.3">
      <c r="A8" s="8">
        <f>ROW()-7</f>
        <v>1</v>
      </c>
      <c r="B8" s="8" t="s">
        <v>33</v>
      </c>
      <c r="C8" s="8" t="s">
        <v>73</v>
      </c>
      <c r="D8" s="8" t="s">
        <v>75</v>
      </c>
      <c r="E8" s="8" t="s">
        <v>34</v>
      </c>
      <c r="F8" s="8" t="s">
        <v>35</v>
      </c>
      <c r="G8" s="8" t="s">
        <v>36</v>
      </c>
      <c r="H8" s="8" t="s">
        <v>37</v>
      </c>
      <c r="I8" s="8" t="s">
        <v>38</v>
      </c>
      <c r="J8" s="8" t="s">
        <v>39</v>
      </c>
      <c r="K8" s="8" t="s">
        <v>64</v>
      </c>
      <c r="L8" s="8" t="s">
        <v>65</v>
      </c>
      <c r="M8" s="8" t="s">
        <v>40</v>
      </c>
      <c r="N8" s="8" t="s">
        <v>74</v>
      </c>
      <c r="O8" s="8" t="s">
        <v>63</v>
      </c>
      <c r="P8" s="30" t="s">
        <v>41</v>
      </c>
      <c r="Q8" s="32" t="s">
        <v>42</v>
      </c>
      <c r="R8" s="32" t="s">
        <v>43</v>
      </c>
      <c r="S8" s="29" t="s">
        <v>44</v>
      </c>
      <c r="T8" s="32" t="s">
        <v>45</v>
      </c>
      <c r="U8" s="8" t="s">
        <v>46</v>
      </c>
      <c r="V8" s="31" t="s">
        <v>47</v>
      </c>
    </row>
    <row r="9" spans="1:22" s="12" customFormat="1" x14ac:dyDescent="0.3">
      <c r="B9" s="20"/>
      <c r="C9" s="20"/>
      <c r="D9" s="13"/>
      <c r="E9" s="20"/>
      <c r="F9" s="20"/>
      <c r="G9" s="20"/>
      <c r="H9" s="9"/>
      <c r="I9" s="9"/>
      <c r="J9" s="20"/>
      <c r="K9" s="8"/>
      <c r="L9" s="8"/>
      <c r="M9" s="10"/>
      <c r="N9" s="8"/>
      <c r="O9" s="10"/>
      <c r="P9" s="11"/>
      <c r="Q9" s="8" t="s">
        <v>21</v>
      </c>
      <c r="R9" s="26">
        <f ca="1">SUM(INDIRECT("Q9:Q"&amp;ROW()-1))</f>
        <v>0</v>
      </c>
      <c r="S9" s="16"/>
      <c r="T9" s="26">
        <f ca="1">SUM(INDIRECT("S9:S"&amp;ROW()-1))</f>
        <v>0</v>
      </c>
      <c r="U9" s="8"/>
      <c r="V9" s="10"/>
    </row>
  </sheetData>
  <phoneticPr fontId="2" type="noConversion"/>
  <conditionalFormatting sqref="A8:B8 E8:XFD8">
    <cfRule type="expression" dxfId="7" priority="5">
      <formula>$O$8 = "N"</formula>
    </cfRule>
  </conditionalFormatting>
  <conditionalFormatting sqref="C8">
    <cfRule type="expression" dxfId="6" priority="3">
      <formula>$O$8 = "N"</formula>
    </cfRule>
  </conditionalFormatting>
  <conditionalFormatting sqref="D8">
    <cfRule type="expression" dxfId="1" priority="1">
      <formula>$O$8 = "N"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Views>
    <sheetView zoomScale="70" zoomScaleNormal="70" workbookViewId="0">
      <selection activeCell="D7" sqref="D7:D8"/>
    </sheetView>
  </sheetViews>
  <sheetFormatPr defaultRowHeight="16.5" x14ac:dyDescent="0.3"/>
  <cols>
    <col min="1" max="1" width="7.375" style="12" customWidth="1"/>
    <col min="2" max="2" width="15.5" style="21" bestFit="1" customWidth="1"/>
    <col min="3" max="3" width="30.875" style="21" customWidth="1"/>
    <col min="4" max="4" width="30.875" style="12" bestFit="1" customWidth="1"/>
    <col min="5" max="5" width="25.875" style="12" bestFit="1" customWidth="1"/>
    <col min="6" max="6" width="53.875" style="12" bestFit="1" customWidth="1"/>
    <col min="7" max="7" width="23.375" style="12" bestFit="1" customWidth="1"/>
    <col min="8" max="8" width="5.75" style="12" bestFit="1" customWidth="1"/>
    <col min="9" max="9" width="10" style="12" bestFit="1" customWidth="1"/>
    <col min="10" max="10" width="54.375" style="12" bestFit="1" customWidth="1"/>
    <col min="11" max="11" width="13" style="12" customWidth="1"/>
    <col min="12" max="12" width="20" style="12" bestFit="1" customWidth="1"/>
    <col min="13" max="13" width="22.75" style="12" bestFit="1" customWidth="1"/>
    <col min="14" max="14" width="13" style="12" bestFit="1" customWidth="1"/>
    <col min="15" max="15" width="15.375" style="12" customWidth="1"/>
    <col min="16" max="16" width="13" style="12" bestFit="1" customWidth="1"/>
    <col min="17" max="17" width="19.875" style="12" bestFit="1" customWidth="1"/>
    <col min="18" max="18" width="21" style="12" customWidth="1"/>
    <col min="19" max="19" width="8.875" style="21" customWidth="1"/>
    <col min="20" max="20" width="27.25" style="12" bestFit="1" customWidth="1"/>
    <col min="21" max="21" width="9.25" style="12" bestFit="1" customWidth="1"/>
    <col min="22" max="22" width="97.75" style="12" bestFit="1" customWidth="1"/>
    <col min="23" max="23" width="9" style="12"/>
    <col min="24" max="24" width="13" style="12" bestFit="1" customWidth="1"/>
    <col min="25" max="16384" width="9" style="12"/>
  </cols>
  <sheetData>
    <row r="1" spans="1:22" s="6" customFormat="1" x14ac:dyDescent="0.3">
      <c r="A1" s="17"/>
      <c r="B1" s="17"/>
      <c r="C1" s="17"/>
      <c r="K1" s="17"/>
      <c r="L1" s="17"/>
      <c r="N1" s="17"/>
      <c r="S1" s="17"/>
    </row>
    <row r="2" spans="1:22" s="6" customFormat="1" x14ac:dyDescent="0.3">
      <c r="A2" s="17"/>
      <c r="B2" s="17"/>
      <c r="C2" s="17"/>
      <c r="K2" s="17"/>
      <c r="L2" s="17"/>
      <c r="N2" s="17"/>
      <c r="S2" s="17"/>
    </row>
    <row r="3" spans="1:22" s="6" customFormat="1" x14ac:dyDescent="0.3">
      <c r="A3" s="17"/>
      <c r="B3" s="17"/>
      <c r="C3" s="17"/>
      <c r="K3" s="17"/>
      <c r="L3" s="17"/>
      <c r="N3" s="17"/>
      <c r="S3" s="17"/>
    </row>
    <row r="4" spans="1:22" s="6" customFormat="1" x14ac:dyDescent="0.3">
      <c r="A4" s="18" t="s">
        <v>17</v>
      </c>
      <c r="B4" s="17"/>
      <c r="C4" s="17"/>
      <c r="K4" s="17"/>
      <c r="L4" s="17"/>
      <c r="N4" s="17"/>
      <c r="S4" s="17"/>
    </row>
    <row r="5" spans="1:22" s="6" customFormat="1" x14ac:dyDescent="0.3">
      <c r="A5" s="18" t="s">
        <v>18</v>
      </c>
      <c r="B5" s="17"/>
      <c r="C5" s="17"/>
      <c r="D5" s="19"/>
      <c r="K5" s="17"/>
      <c r="L5" s="17"/>
      <c r="N5" s="17"/>
      <c r="S5" s="17"/>
    </row>
    <row r="6" spans="1:22" s="6" customFormat="1" x14ac:dyDescent="0.3">
      <c r="A6" s="18" t="s">
        <v>19</v>
      </c>
      <c r="B6" s="17"/>
      <c r="C6" s="17"/>
      <c r="K6" s="17"/>
      <c r="L6" s="17"/>
      <c r="N6" s="17"/>
      <c r="R6" s="14" t="s">
        <v>25</v>
      </c>
      <c r="S6" s="17" t="s">
        <v>24</v>
      </c>
    </row>
    <row r="7" spans="1:22" s="6" customFormat="1" x14ac:dyDescent="0.3">
      <c r="A7" s="5" t="s">
        <v>16</v>
      </c>
      <c r="B7" s="5" t="s">
        <v>0</v>
      </c>
      <c r="C7" s="5" t="s">
        <v>0</v>
      </c>
      <c r="D7" s="5" t="s">
        <v>69</v>
      </c>
      <c r="E7" s="5" t="s">
        <v>2</v>
      </c>
      <c r="F7" s="5" t="s">
        <v>1</v>
      </c>
      <c r="G7" s="5" t="s">
        <v>8</v>
      </c>
      <c r="H7" s="5" t="s">
        <v>3</v>
      </c>
      <c r="I7" s="5" t="s">
        <v>4</v>
      </c>
      <c r="J7" s="5" t="s">
        <v>5</v>
      </c>
      <c r="K7" s="5" t="s">
        <v>10</v>
      </c>
      <c r="L7" s="5" t="s">
        <v>14</v>
      </c>
      <c r="M7" s="5" t="s">
        <v>9</v>
      </c>
      <c r="N7" s="5" t="s">
        <v>13</v>
      </c>
      <c r="O7" s="5" t="s">
        <v>11</v>
      </c>
      <c r="P7" s="5" t="s">
        <v>7</v>
      </c>
      <c r="Q7" s="5" t="s">
        <v>6</v>
      </c>
      <c r="R7" s="7" t="s">
        <v>20</v>
      </c>
      <c r="S7" s="5" t="s">
        <v>23</v>
      </c>
      <c r="T7" s="5" t="s">
        <v>22</v>
      </c>
      <c r="U7" s="5" t="s">
        <v>12</v>
      </c>
      <c r="V7" s="5" t="s">
        <v>15</v>
      </c>
    </row>
    <row r="8" spans="1:22" s="15" customFormat="1" x14ac:dyDescent="0.3">
      <c r="A8" s="8">
        <f>ROW()-7</f>
        <v>1</v>
      </c>
      <c r="B8" s="8" t="s">
        <v>48</v>
      </c>
      <c r="C8" s="8" t="s">
        <v>71</v>
      </c>
      <c r="D8" s="8" t="s">
        <v>70</v>
      </c>
      <c r="E8" s="8" t="s">
        <v>49</v>
      </c>
      <c r="F8" s="8" t="s">
        <v>50</v>
      </c>
      <c r="G8" s="8" t="s">
        <v>51</v>
      </c>
      <c r="H8" s="8" t="s">
        <v>52</v>
      </c>
      <c r="I8" s="8" t="s">
        <v>53</v>
      </c>
      <c r="J8" s="8" t="s">
        <v>54</v>
      </c>
      <c r="K8" s="8" t="s">
        <v>66</v>
      </c>
      <c r="L8" s="8" t="s">
        <v>67</v>
      </c>
      <c r="M8" s="8" t="s">
        <v>55</v>
      </c>
      <c r="N8" s="8" t="s">
        <v>72</v>
      </c>
      <c r="O8" s="8" t="s">
        <v>68</v>
      </c>
      <c r="P8" s="30" t="s">
        <v>56</v>
      </c>
      <c r="Q8" s="32" t="s">
        <v>57</v>
      </c>
      <c r="R8" s="32" t="s">
        <v>58</v>
      </c>
      <c r="S8" s="8" t="s">
        <v>59</v>
      </c>
      <c r="T8" s="32" t="s">
        <v>60</v>
      </c>
      <c r="U8" s="8" t="s">
        <v>61</v>
      </c>
      <c r="V8" s="31" t="s">
        <v>62</v>
      </c>
    </row>
    <row r="9" spans="1:22" x14ac:dyDescent="0.3">
      <c r="Q9" s="10" t="s">
        <v>26</v>
      </c>
      <c r="R9" s="26">
        <f ca="1">SUM(INDIRECT("Q9:Q"&amp;ROW()-1))</f>
        <v>0</v>
      </c>
      <c r="S9" s="22"/>
      <c r="T9" s="26">
        <f ca="1">SUM(INDIRECT("S9:S"&amp;ROW()-1))</f>
        <v>0</v>
      </c>
    </row>
    <row r="11" spans="1:22" x14ac:dyDescent="0.3">
      <c r="T11" s="23"/>
    </row>
    <row r="12" spans="1:22" x14ac:dyDescent="0.3">
      <c r="T12" s="23">
        <v>2700000</v>
      </c>
      <c r="V12" s="21" t="s">
        <v>27</v>
      </c>
    </row>
    <row r="13" spans="1:22" x14ac:dyDescent="0.3">
      <c r="T13" s="23">
        <v>3400000</v>
      </c>
      <c r="V13" s="21" t="s">
        <v>28</v>
      </c>
    </row>
    <row r="14" spans="1:22" x14ac:dyDescent="0.3">
      <c r="T14" s="23">
        <v>800000</v>
      </c>
      <c r="V14" s="21" t="s">
        <v>29</v>
      </c>
    </row>
    <row r="15" spans="1:22" x14ac:dyDescent="0.3">
      <c r="T15" s="23">
        <v>11000000</v>
      </c>
      <c r="V15" s="21" t="s">
        <v>30</v>
      </c>
    </row>
    <row r="16" spans="1:22" x14ac:dyDescent="0.3">
      <c r="V16" s="21" t="s">
        <v>31</v>
      </c>
    </row>
    <row r="17" spans="19:22" x14ac:dyDescent="0.3">
      <c r="S17" s="24"/>
      <c r="T17" s="25">
        <f>SUM(T12:T16)</f>
        <v>17900000</v>
      </c>
      <c r="V17" s="24" t="s">
        <v>32</v>
      </c>
    </row>
  </sheetData>
  <phoneticPr fontId="2" type="noConversion"/>
  <conditionalFormatting sqref="B8 D8:XFD8">
    <cfRule type="expression" dxfId="4" priority="3">
      <formula>$O$8 = "X"</formula>
    </cfRule>
  </conditionalFormatting>
  <conditionalFormatting sqref="A8">
    <cfRule type="expression" dxfId="3" priority="2">
      <formula>#REF! = "N"</formula>
    </cfRule>
  </conditionalFormatting>
  <conditionalFormatting sqref="C8">
    <cfRule type="expression" dxfId="2" priority="1">
      <formula>$O$8 = "X"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HW 자산</vt:lpstr>
      <vt:lpstr>상용SW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2022-05-18T07:05:37Z</dcterms:modified>
</cp:coreProperties>
</file>